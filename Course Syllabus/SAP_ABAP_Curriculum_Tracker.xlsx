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BAP 2026\Course Syllabus\"/>
    </mc:Choice>
  </mc:AlternateContent>
  <xr:revisionPtr revIDLastSave="0" documentId="13_ncr:1_{0D336633-3921-4D6B-B48A-7AD41551BB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P ABAP Tracker" sheetId="1" r:id="rId1"/>
    <sheet name="Dashboard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B5" i="2"/>
  <c r="B3" i="2"/>
  <c r="B6" i="2" l="1"/>
  <c r="C3" i="2" s="1"/>
</calcChain>
</file>

<file path=xl/sharedStrings.xml><?xml version="1.0" encoding="utf-8"?>
<sst xmlns="http://schemas.openxmlformats.org/spreadsheetml/2006/main" count="380" uniqueCount="198">
  <si>
    <t>📘  SAP ABAP Course – Curriculum Tracker</t>
  </si>
  <si>
    <t xml:space="preserve">  ✅ Done  |  🔄 In Progress  |  ⏳ Pending          Priority: High / Medium / Low          Difficulty: Easy / Medium / Hard</t>
  </si>
  <si>
    <t>Sr</t>
  </si>
  <si>
    <t>Module / Topic</t>
  </si>
  <si>
    <t>Important Sub-topics</t>
  </si>
  <si>
    <t>Status</t>
  </si>
  <si>
    <t>Date Started</t>
  </si>
  <si>
    <t>Date Completed</t>
  </si>
  <si>
    <t>Priority</t>
  </si>
  <si>
    <t>Difficulty</t>
  </si>
  <si>
    <t>Notes / Resource Link</t>
  </si>
  <si>
    <t xml:space="preserve">  MODULE 1: SAP / ERP Fundamentals</t>
  </si>
  <si>
    <t>ERP, SAP &amp; SAP Modules</t>
  </si>
  <si>
    <t>What is ERP; SAP overview; MM/SD/FI/CO/HR/PP modules</t>
  </si>
  <si>
    <t>⏳ Pending</t>
  </si>
  <si>
    <t>High</t>
  </si>
  <si>
    <t>Medium</t>
  </si>
  <si>
    <t>Features of SAP &amp; SAP R/3 Architecture</t>
  </si>
  <si>
    <t>3-tier architecture; Presentation/Application/DB layers; Netweaver</t>
  </si>
  <si>
    <t>TR &amp; SAP R/3 Architecture</t>
  </si>
  <si>
    <t>Transport Request concept; Dev→QA→Prod landscape; CTS</t>
  </si>
  <si>
    <t>Roles of ABAPer</t>
  </si>
  <si>
    <t>Developer responsibilities; Tickets; Change requests; Performance tuning</t>
  </si>
  <si>
    <t>ABAP Application Server Architecture</t>
  </si>
  <si>
    <t>Work processes; Dispatcher; Memory management; Buffers</t>
  </si>
  <si>
    <t xml:space="preserve">  MODULE 2: ABAP Basics</t>
  </si>
  <si>
    <t>ABAP Objects</t>
  </si>
  <si>
    <t>Data declarations; Operators; Control statements; Loops; Modularisation</t>
  </si>
  <si>
    <t>Header &amp; Item Table</t>
  </si>
  <si>
    <t>Parent-child table design; Header key; Item key; Joins</t>
  </si>
  <si>
    <t>Steps to Create TR</t>
  </si>
  <si>
    <t>SE09/SE10; Task vs Request; Release process</t>
  </si>
  <si>
    <t>Data Types</t>
  </si>
  <si>
    <t>Elementary types (C/N/I/F/D/T/P/X); Complex types; Generic types</t>
  </si>
  <si>
    <t>RICEFW</t>
  </si>
  <si>
    <t>Reports; Interfaces; Conversions; Enhancements; Forms; Workflows</t>
  </si>
  <si>
    <t xml:space="preserve">  MODULE 3: ABAP Dictionary (DDIC)</t>
  </si>
  <si>
    <t>ABAP Dictionary &amp; DDIC (SE11)</t>
  </si>
  <si>
    <t>Domains; Data elements; Transparent/Pooled/Cluster tables; SE11 navigation</t>
  </si>
  <si>
    <t>Domains</t>
  </si>
  <si>
    <t>Value range; Fixed values; Foreign key check; Domain hierarchy</t>
  </si>
  <si>
    <t>Table Creation</t>
  </si>
  <si>
    <t>Defining fields; Technical settings; Delivery class; Enhancement category</t>
  </si>
  <si>
    <t>TMG (Table Maintenance Generator)</t>
  </si>
  <si>
    <t>SM30; Function group; Authorization group; Recording routine</t>
  </si>
  <si>
    <t>PK–FK Relationships</t>
  </si>
  <si>
    <t>Primary key; Foreign key; Cardinality check; Referential integrity</t>
  </si>
  <si>
    <t>Types of DB Tables &amp; Cardinality</t>
  </si>
  <si>
    <t>Transparent/Pool/Cluster; 1:1, 1:N, N:M cardinality</t>
  </si>
  <si>
    <t>Structure</t>
  </si>
  <si>
    <t>Flat vs nested structures; INCLUDE; Append structures</t>
  </si>
  <si>
    <t>Views</t>
  </si>
  <si>
    <t>Database/Projection/Maintenance/Help views; SE11 view creation</t>
  </si>
  <si>
    <t>Index</t>
  </si>
  <si>
    <t>Primary vs secondary index; Index on custom tables; Performance impact</t>
  </si>
  <si>
    <t>Search Help</t>
  </si>
  <si>
    <t>Elementary &amp; Collective search helps; SE11; Attaching to field</t>
  </si>
  <si>
    <t>Table Buffering</t>
  </si>
  <si>
    <t>Full/Generic/Single-record buffering; When to buffer; Consistency</t>
  </si>
  <si>
    <t>Lock Object</t>
  </si>
  <si>
    <t>SE11 lock objects; Enqueue/Dequeue; Lock modes (S/E/X)</t>
  </si>
  <si>
    <t>Check Table &amp; Value Table</t>
  </si>
  <si>
    <t>Difference between check table and value table; Foreign key assignment</t>
  </si>
  <si>
    <t>DDIC Project</t>
  </si>
  <si>
    <t>End-to-end DDIC object creation exercise</t>
  </si>
  <si>
    <t xml:space="preserve">  MODULE 4: ABAP Programming</t>
  </si>
  <si>
    <t>ABAP Programming – Variant</t>
  </si>
  <si>
    <t>SE38; Program types; Variants; SY- system variables</t>
  </si>
  <si>
    <t>Internal Table &amp; Work Area</t>
  </si>
  <si>
    <t>TYPES; DATA; LIKE LINE OF; Header line vs work area; OCCURS</t>
  </si>
  <si>
    <t>Internal Table Operations</t>
  </si>
  <si>
    <t>APPEND/INSERT/MODIFY/DELETE/READ/LOOP/SORT; Binary search</t>
  </si>
  <si>
    <t>Selection Screen</t>
  </si>
  <si>
    <t>PARAMETERS; SELECT-OPTIONS; SELECTION-SCREEN blocks; AT SELECTION-SCREEN</t>
  </si>
  <si>
    <t>Reports</t>
  </si>
  <si>
    <t>Classical/Interactive/ALV reports; Events; WRITE statement</t>
  </si>
  <si>
    <t>Joins (Open SQL)</t>
  </si>
  <si>
    <t>INNER/LEFT OUTER JOIN; FOR ALL ENTRIES; Subquery; Performance tips</t>
  </si>
  <si>
    <t>Message Class</t>
  </si>
  <si>
    <t>SE91; Message types (A/E/I/S/W/X); MESSAGE statement</t>
  </si>
  <si>
    <t xml:space="preserve">  MODULE 5: Reports</t>
  </si>
  <si>
    <t>Classical Report Events</t>
  </si>
  <si>
    <t>INITIALIZATION; START-OF-SELECTION; END-OF-SELECTION; TOP-OF-PAGE; END-OF-PAGE</t>
  </si>
  <si>
    <t>Interactive Classical Report Events</t>
  </si>
  <si>
    <t>AT LINE-SELECTION; AT USER-COMMAND; SET/GET cursor; HIDE</t>
  </si>
  <si>
    <t>Interactive Classical Report Statements</t>
  </si>
  <si>
    <t>LEAVE TO LIST-PROCESSING; SUPPRESS DIALOG; SCROLL LIST; secondary lists</t>
  </si>
  <si>
    <t>ALV (ABAP List Viewer)</t>
  </si>
  <si>
    <t>REUSE_ALV_GRID_DISPLAY; Field catalog; Layout; Sort; Filter; Events</t>
  </si>
  <si>
    <t xml:space="preserve">  MODULE 6: Modularisation &amp; OOP</t>
  </si>
  <si>
    <t>Modularisation Technique</t>
  </si>
  <si>
    <t>FORM/ENDFORM; FUNCTION MODULE; SE37; INCLUDE programs; Macros</t>
  </si>
  <si>
    <t>OOP – ABAP Objects</t>
  </si>
  <si>
    <t>Class; Object; Encapsulation; Inheritance; Polymorphism; SE24</t>
  </si>
  <si>
    <t>Local Class &amp; Other Classes</t>
  </si>
  <si>
    <t>CLASS ... IMPLEMENTATION; PUBLIC/PRIVATE/PROTECTED sections; Global class</t>
  </si>
  <si>
    <t>Methods</t>
  </si>
  <si>
    <t>Instance vs Static methods; Importing/Exporting/Returning/Changing params</t>
  </si>
  <si>
    <t>Abstract Class</t>
  </si>
  <si>
    <t>ABSTRACT keyword; Cannot instantiate; Must inherit; Abstract methods</t>
  </si>
  <si>
    <t>Polymorphism</t>
  </si>
  <si>
    <t>Method overriding; Dynamic binding; CAST; Object references</t>
  </si>
  <si>
    <t>Interfaces</t>
  </si>
  <si>
    <t>INTERFACE keyword; Multiple interface implementation; ~tilde notation</t>
  </si>
  <si>
    <t>Constructor</t>
  </si>
  <si>
    <t>CONSTRUCTOR method; CLASS-CONSTRUCTOR; Initialization logic</t>
  </si>
  <si>
    <t>Exception Class</t>
  </si>
  <si>
    <t>CX_ROOT hierarchy; TRY/CATCH/CLEANUP/ENDTRY; RAISE EXCEPTION; ZCX_*</t>
  </si>
  <si>
    <t>SALV (Simple ALV)</t>
  </si>
  <si>
    <t>CL_SALV_TABLE; Columns; Functions; Events; Display settings</t>
  </si>
  <si>
    <t>Factory Design Pattern</t>
  </si>
  <si>
    <t>Factory method; GET_INSTANCE; Singleton concept in ABAP OOP</t>
  </si>
  <si>
    <t xml:space="preserve">  MODULE 7: BAPI (Business API)</t>
  </si>
  <si>
    <t>What is BAPI?</t>
  </si>
  <si>
    <t>Business Application Programming Interface; Standard SAP method; BAPI_* naming</t>
  </si>
  <si>
    <t>BAPI Architecture</t>
  </si>
  <si>
    <t>Function module based; Remote-enabled (RFC); BAPI Explorer (BAPI tcode)</t>
  </si>
  <si>
    <t>Calling a BAPI</t>
  </si>
  <si>
    <t>CALL FUNCTION 'BAPI_*'; COMMIT WORK AND WAIT; ROLLBACK WORK</t>
  </si>
  <si>
    <t>BAPI Return Table</t>
  </si>
  <si>
    <t>BAPIRET2 structure; TYPE field (S/E/W/I/A); handling error messages</t>
  </si>
  <si>
    <t>Commonly Used BAPIs</t>
  </si>
  <si>
    <t>BAPI_MATERIAL_SAVEDATA; BAPI_PO_CREATE1; BAPI_SALESORDER_CREATEFROMDAT2; BAPI_GOODSMVT_CREATE</t>
  </si>
  <si>
    <t>Custom BAPI Creation</t>
  </si>
  <si>
    <t>SE37; RFC-enabled; BAPI parameter naming convention; BAPIMETHODS table</t>
  </si>
  <si>
    <t>BAPI Transaction Handling</t>
  </si>
  <si>
    <t>COMMIT/ROLLBACK strategy; BAPI_TRANSACTION_COMMIT; Error rollback logic</t>
  </si>
  <si>
    <t xml:space="preserve">  MODULE 8: Enhancement (RICEF – E)</t>
  </si>
  <si>
    <t>Types of Enhancements</t>
  </si>
  <si>
    <t>Classical exits (User exits, Menu exits, Screen exits); BADIs; Enhancement Framework</t>
  </si>
  <si>
    <t>User Exits</t>
  </si>
  <si>
    <t>SMOD/CMOD; EXIT_ function modules; Standard SAP exit points; Activation</t>
  </si>
  <si>
    <t>Customer Exits (CMOD)</t>
  </si>
  <si>
    <t>CMOD project creation; Assigning enhancement; Implementing EXIT_* FM; Testing</t>
  </si>
  <si>
    <t>Menu Exits &amp; Screen Exits</t>
  </si>
  <si>
    <t>Additional menu items; Additional sub-screens; Function codes</t>
  </si>
  <si>
    <t>BADIs (Business Add-Ins)</t>
  </si>
  <si>
    <t>SE18/SE19; Classic BADI vs New (kernel) BADI; GET BADI / CALL BADI</t>
  </si>
  <si>
    <t>Enhancement Framework (SE80)</t>
  </si>
  <si>
    <t>Enhancement spots; Implicit vs Explicit enhancement points; Source code plug-in</t>
  </si>
  <si>
    <t>Enhancement Implementation</t>
  </si>
  <si>
    <t>Creating enhancement implementation; ENHANCEMENT ... ENDENHANCEMENT syntax</t>
  </si>
  <si>
    <t>Pre/Post Enhancement</t>
  </si>
  <si>
    <t>Before/After method hook; Overwrite implementation; Priority</t>
  </si>
  <si>
    <t>Practical Enhancement Scenarios</t>
  </si>
  <si>
    <t>Enhancing standard SAP programs (ME21N, VA01, MIGO) with custom logic</t>
  </si>
  <si>
    <t>📊  SAP ABAP Course – Progress Dashboard</t>
  </si>
  <si>
    <t>Metric</t>
  </si>
  <si>
    <t>Count</t>
  </si>
  <si>
    <t>Progress Bar (out of 20)</t>
  </si>
  <si>
    <t>✅ Completed Topics</t>
  </si>
  <si>
    <t>🔄 In Progress Topics</t>
  </si>
  <si>
    <t>⏳ Pending Topics</t>
  </si>
  <si>
    <t>📚 Total Topics</t>
  </si>
  <si>
    <t>Module-wise Progress</t>
  </si>
  <si>
    <t>Module</t>
  </si>
  <si>
    <t>Total</t>
  </si>
  <si>
    <t>Done</t>
  </si>
  <si>
    <t>In Progress</t>
  </si>
  <si>
    <t>Pending</t>
  </si>
  <si>
    <t>SAP / ERP Fundamentals</t>
  </si>
  <si>
    <t>ABAP Basics</t>
  </si>
  <si>
    <t>ABAP Dictionary (DDIC)</t>
  </si>
  <si>
    <t>ABAP Programming</t>
  </si>
  <si>
    <t>Modularisation &amp; OOP</t>
  </si>
  <si>
    <t>BAPI</t>
  </si>
  <si>
    <t>Enhancement</t>
  </si>
  <si>
    <t>💡 Update Status in 'SAP ABAP Tracker' sheet — Dashboard recalculates automatically!</t>
  </si>
  <si>
    <t>📖  How To Use This SAP ABAP Tracker</t>
  </si>
  <si>
    <t>STEP / FEATURE</t>
  </si>
  <si>
    <t>DETAILS</t>
  </si>
  <si>
    <t>1️⃣  Update Status</t>
  </si>
  <si>
    <t>Click any cell in the 'Status' column → choose from dropdown:
  ✅ Done  |  🔄 In Progress  |  ⏳ Pending</t>
  </si>
  <si>
    <t>2️⃣  Fill Dates</t>
  </si>
  <si>
    <t>Enter 'Date Started' when you begin a topic.
Enter 'Date Completed' once finished. Format: DD-Mon-YYYY (e.g. 05-Jun-2025)</t>
  </si>
  <si>
    <t>3️⃣  Set Priority</t>
  </si>
  <si>
    <t>Use Priority dropdown (High / Medium / Low) to plan your study sequence.</t>
  </si>
  <si>
    <t>4️⃣  Set Difficulty</t>
  </si>
  <si>
    <t>Mark each topic as Easy / Medium / Hard to gauge your revision effort.</t>
  </si>
  <si>
    <t>5️⃣  Notes Column</t>
  </si>
  <si>
    <t>Add YouTube links, book chapter refs, practice tcode names, or personal notes.</t>
  </si>
  <si>
    <t>6️⃣  Dashboard Sheet</t>
  </si>
  <si>
    <t>Switch to 'Dashboard' to see total Done/In-Progress/Pending counts and % — auto-updates!</t>
  </si>
  <si>
    <t>7️⃣  Module Headers</t>
  </si>
  <si>
    <t>Dark rows = Module headers (not editable). Light rows = individual topics.</t>
  </si>
  <si>
    <t>8️⃣  Adding Topics</t>
  </si>
  <si>
    <t>Insert a new row inside the module block, copy formatting from adjacent row, fill details.</t>
  </si>
  <si>
    <t>9️⃣  BAPI Module</t>
  </si>
  <si>
    <t>Covers BAPI architecture, calling BAPIs, BAPIRET2 error handling, and custom BAPI creation.</t>
  </si>
  <si>
    <t>🔟  Enhancement Module</t>
  </si>
  <si>
    <t>Covers User Exits (SMOD/CMOD), BADIs (SE18/SE19), Enhancement Framework, Pre/Post hooks.</t>
  </si>
  <si>
    <t>🎨  Color Guide</t>
  </si>
  <si>
    <t>🟢 Green = Done   🔵 Blue = In Progress   🟡 Yellow = Pending   ⬛ Dark Blue = Module Header</t>
  </si>
  <si>
    <t>Interview Questions</t>
  </si>
  <si>
    <t>Course: SAP ABAP     Name : Shubham B. Randive     Start Date: 30/05/2026     Target Date: 30/06/2026</t>
  </si>
  <si>
    <t>DONE</t>
  </si>
  <si>
    <t>✅ Done</t>
  </si>
  <si>
    <t>🔄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</si>
</sst>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9"/>
      <color rgb="FFFFFFFF"/>
      <name val="Arial"/>
    </font>
    <font>
      <sz val="9"/>
      <color rgb="FF4A4A4A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9C5700"/>
      <name val="Arial"/>
    </font>
    <font>
      <b/>
      <sz val="16"/>
      <color rgb="FFFFFFFF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i/>
      <sz val="9"/>
      <color rgb="FF4A4A4A"/>
      <name val="Arial"/>
    </font>
    <font>
      <b/>
      <sz val="15"/>
      <color rgb="FFFFFFFF"/>
      <name val="Arial"/>
    </font>
    <font>
      <b/>
      <sz val="11"/>
      <color theme="1"/>
      <name val="Calibri"/>
      <family val="2"/>
      <scheme val="minor"/>
    </font>
    <font>
      <b/>
      <sz val="9"/>
      <color rgb="FF4A4A4A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0F4FF"/>
      </patternFill>
    </fill>
    <fill>
      <patternFill patternType="solid">
        <fgColor rgb="FF2E4057"/>
      </patternFill>
    </fill>
    <fill>
      <patternFill patternType="solid">
        <fgColor rgb="FFF2F7FF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D6DCE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center" vertical="center" wrapText="1" indent="1"/>
    </xf>
    <xf numFmtId="0" fontId="5" fillId="6" borderId="1" xfId="0" applyFont="1" applyFill="1" applyBorder="1" applyAlignment="1">
      <alignment horizontal="center" vertical="center" wrapText="1" inden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center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indent="1"/>
    </xf>
    <xf numFmtId="0" fontId="9" fillId="11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/>
    </xf>
    <xf numFmtId="0" fontId="0" fillId="0" borderId="0" xfId="0"/>
    <xf numFmtId="0" fontId="2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2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indent="1"/>
    </xf>
    <xf numFmtId="0" fontId="13" fillId="0" borderId="0" xfId="0" applyFont="1"/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74"/>
  <sheetViews>
    <sheetView showGridLines="0" tabSelected="1" workbookViewId="0">
      <pane ySplit="4" topLeftCell="A12" activePane="bottomLeft" state="frozen"/>
      <selection pane="bottomLeft" activeCell="E19" sqref="E19"/>
    </sheetView>
  </sheetViews>
  <sheetFormatPr defaultRowHeight="14.4" x14ac:dyDescent="0.3"/>
  <cols>
    <col min="1" max="1" width="6" customWidth="1"/>
    <col min="2" max="2" width="34" customWidth="1"/>
    <col min="3" max="3" width="60.6640625" customWidth="1"/>
    <col min="4" max="4" width="18" customWidth="1"/>
    <col min="5" max="6" width="16" customWidth="1"/>
    <col min="7" max="7" width="10" customWidth="1"/>
    <col min="8" max="8" width="12" customWidth="1"/>
    <col min="9" max="10" width="32" customWidth="1"/>
  </cols>
  <sheetData>
    <row r="1" spans="1:10" ht="37.950000000000003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8" customHeight="1" x14ac:dyDescent="0.3">
      <c r="A2" s="34" t="s">
        <v>194</v>
      </c>
      <c r="B2" s="35"/>
      <c r="C2" s="35"/>
      <c r="D2" s="35"/>
      <c r="E2" s="35"/>
      <c r="F2" s="35"/>
      <c r="G2" s="35"/>
      <c r="H2" s="35"/>
      <c r="I2" s="35"/>
    </row>
    <row r="3" spans="1:10" ht="16.05" customHeight="1" x14ac:dyDescent="0.3">
      <c r="A3" s="28" t="s">
        <v>1</v>
      </c>
      <c r="B3" s="27"/>
      <c r="C3" s="27"/>
      <c r="D3" s="27"/>
      <c r="E3" s="27"/>
      <c r="F3" s="27"/>
      <c r="G3" s="27"/>
      <c r="H3" s="27"/>
      <c r="I3" s="27"/>
    </row>
    <row r="4" spans="1:10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193</v>
      </c>
    </row>
    <row r="5" spans="1:10" ht="22.05" customHeight="1" x14ac:dyDescent="0.3">
      <c r="A5" s="36" t="s">
        <v>11</v>
      </c>
      <c r="B5" s="37"/>
      <c r="C5" s="37"/>
      <c r="D5" s="37"/>
      <c r="E5" s="37"/>
      <c r="F5" s="37"/>
      <c r="G5" s="37"/>
      <c r="H5" s="37"/>
      <c r="I5" s="37"/>
      <c r="J5" s="37"/>
    </row>
    <row r="6" spans="1:10" ht="40.049999999999997" customHeight="1" x14ac:dyDescent="0.3">
      <c r="A6" s="2">
        <v>1</v>
      </c>
      <c r="B6" s="3" t="s">
        <v>12</v>
      </c>
      <c r="C6" s="4" t="s">
        <v>13</v>
      </c>
      <c r="D6" s="5" t="s">
        <v>196</v>
      </c>
      <c r="E6" s="6"/>
      <c r="F6" s="6"/>
      <c r="G6" s="6" t="s">
        <v>15</v>
      </c>
      <c r="H6" s="6" t="s">
        <v>16</v>
      </c>
      <c r="I6" s="3"/>
      <c r="J6" s="38" t="s">
        <v>195</v>
      </c>
    </row>
    <row r="7" spans="1:10" ht="40.049999999999997" customHeight="1" x14ac:dyDescent="0.3">
      <c r="A7" s="7">
        <v>2</v>
      </c>
      <c r="B7" s="8" t="s">
        <v>17</v>
      </c>
      <c r="C7" s="9" t="s">
        <v>18</v>
      </c>
      <c r="D7" s="5" t="s">
        <v>196</v>
      </c>
      <c r="E7" s="10"/>
      <c r="F7" s="10"/>
      <c r="G7" s="10" t="s">
        <v>15</v>
      </c>
      <c r="H7" s="10" t="s">
        <v>16</v>
      </c>
      <c r="I7" s="8"/>
      <c r="J7" s="8"/>
    </row>
    <row r="8" spans="1:10" ht="40.049999999999997" customHeight="1" x14ac:dyDescent="0.3">
      <c r="A8" s="2">
        <v>3</v>
      </c>
      <c r="B8" s="3" t="s">
        <v>19</v>
      </c>
      <c r="C8" s="4" t="s">
        <v>20</v>
      </c>
      <c r="D8" s="5" t="s">
        <v>196</v>
      </c>
      <c r="E8" s="6"/>
      <c r="F8" s="6"/>
      <c r="G8" s="6" t="s">
        <v>15</v>
      </c>
      <c r="H8" s="6" t="s">
        <v>16</v>
      </c>
      <c r="I8" s="3"/>
      <c r="J8" s="3"/>
    </row>
    <row r="9" spans="1:10" ht="40.049999999999997" customHeight="1" x14ac:dyDescent="0.3">
      <c r="A9" s="7">
        <v>4</v>
      </c>
      <c r="B9" s="8" t="s">
        <v>21</v>
      </c>
      <c r="C9" s="9" t="s">
        <v>22</v>
      </c>
      <c r="D9" s="5" t="s">
        <v>196</v>
      </c>
      <c r="E9" s="10"/>
      <c r="F9" s="10"/>
      <c r="G9" s="10" t="s">
        <v>15</v>
      </c>
      <c r="H9" s="10" t="s">
        <v>16</v>
      </c>
      <c r="I9" s="8"/>
      <c r="J9" s="8"/>
    </row>
    <row r="10" spans="1:10" ht="40.049999999999997" customHeight="1" x14ac:dyDescent="0.3">
      <c r="A10" s="2">
        <v>5</v>
      </c>
      <c r="B10" s="3" t="s">
        <v>23</v>
      </c>
      <c r="C10" s="4" t="s">
        <v>24</v>
      </c>
      <c r="D10" s="5" t="s">
        <v>196</v>
      </c>
      <c r="E10" s="6"/>
      <c r="F10" s="6"/>
      <c r="G10" s="6" t="s">
        <v>15</v>
      </c>
      <c r="H10" s="6" t="s">
        <v>16</v>
      </c>
      <c r="I10" s="3"/>
      <c r="J10" s="3"/>
    </row>
    <row r="11" spans="1:10" ht="22.05" customHeight="1" x14ac:dyDescent="0.3">
      <c r="A11" s="26" t="s">
        <v>25</v>
      </c>
      <c r="B11" s="27"/>
      <c r="C11" s="27"/>
      <c r="D11" s="27"/>
      <c r="E11" s="27"/>
      <c r="F11" s="27"/>
      <c r="G11" s="27"/>
      <c r="H11" s="27"/>
      <c r="I11" s="27"/>
    </row>
    <row r="12" spans="1:10" ht="31.8" customHeight="1" x14ac:dyDescent="0.3">
      <c r="A12" s="2">
        <v>6</v>
      </c>
      <c r="B12" s="3" t="s">
        <v>26</v>
      </c>
      <c r="C12" s="4" t="s">
        <v>27</v>
      </c>
      <c r="D12" s="5" t="s">
        <v>196</v>
      </c>
      <c r="E12" s="6"/>
      <c r="F12" s="6"/>
      <c r="G12" s="6" t="s">
        <v>15</v>
      </c>
      <c r="H12" s="6" t="s">
        <v>16</v>
      </c>
      <c r="I12" s="3"/>
      <c r="J12" s="3"/>
    </row>
    <row r="13" spans="1:10" ht="40.049999999999997" customHeight="1" x14ac:dyDescent="0.3">
      <c r="A13" s="7">
        <v>7</v>
      </c>
      <c r="B13" s="8" t="s">
        <v>28</v>
      </c>
      <c r="C13" s="9" t="s">
        <v>29</v>
      </c>
      <c r="D13" s="5" t="s">
        <v>14</v>
      </c>
      <c r="E13" s="10"/>
      <c r="F13" s="10"/>
      <c r="G13" s="10" t="s">
        <v>15</v>
      </c>
      <c r="H13" s="10" t="s">
        <v>16</v>
      </c>
      <c r="I13" s="8"/>
      <c r="J13" s="8"/>
    </row>
    <row r="14" spans="1:10" ht="40.049999999999997" customHeight="1" x14ac:dyDescent="0.3">
      <c r="A14" s="2">
        <v>8</v>
      </c>
      <c r="B14" s="3" t="s">
        <v>30</v>
      </c>
      <c r="C14" s="4" t="s">
        <v>31</v>
      </c>
      <c r="D14" s="5" t="s">
        <v>196</v>
      </c>
      <c r="E14" s="6"/>
      <c r="F14" s="6"/>
      <c r="G14" s="6" t="s">
        <v>15</v>
      </c>
      <c r="H14" s="6" t="s">
        <v>16</v>
      </c>
      <c r="I14" s="3"/>
      <c r="J14" s="3"/>
    </row>
    <row r="15" spans="1:10" ht="40.049999999999997" customHeight="1" x14ac:dyDescent="0.3">
      <c r="A15" s="7">
        <v>9</v>
      </c>
      <c r="B15" s="8" t="s">
        <v>32</v>
      </c>
      <c r="C15" s="9" t="s">
        <v>33</v>
      </c>
      <c r="D15" s="5" t="s">
        <v>14</v>
      </c>
      <c r="E15" s="10"/>
      <c r="F15" s="10"/>
      <c r="G15" s="10" t="s">
        <v>15</v>
      </c>
      <c r="H15" s="10" t="s">
        <v>16</v>
      </c>
      <c r="I15" s="8"/>
      <c r="J15" s="8"/>
    </row>
    <row r="16" spans="1:10" ht="40.049999999999997" customHeight="1" x14ac:dyDescent="0.3">
      <c r="A16" s="2">
        <v>10</v>
      </c>
      <c r="B16" s="3" t="s">
        <v>34</v>
      </c>
      <c r="C16" s="4" t="s">
        <v>35</v>
      </c>
      <c r="D16" s="5" t="s">
        <v>14</v>
      </c>
      <c r="E16" s="6"/>
      <c r="F16" s="6"/>
      <c r="G16" s="6" t="s">
        <v>15</v>
      </c>
      <c r="H16" s="6" t="s">
        <v>16</v>
      </c>
      <c r="I16" s="3"/>
      <c r="J16" s="3"/>
    </row>
    <row r="17" spans="1:10" ht="22.05" customHeight="1" x14ac:dyDescent="0.3">
      <c r="A17" s="26" t="s">
        <v>36</v>
      </c>
      <c r="B17" s="27"/>
      <c r="C17" s="27"/>
      <c r="D17" s="27"/>
      <c r="E17" s="27"/>
      <c r="F17" s="27"/>
      <c r="G17" s="27"/>
      <c r="H17" s="27"/>
      <c r="I17" s="27"/>
    </row>
    <row r="18" spans="1:10" ht="40.049999999999997" customHeight="1" x14ac:dyDescent="0.3">
      <c r="A18" s="2">
        <v>11</v>
      </c>
      <c r="B18" s="3" t="s">
        <v>37</v>
      </c>
      <c r="C18" s="4" t="s">
        <v>38</v>
      </c>
      <c r="D18" s="5" t="s">
        <v>197</v>
      </c>
      <c r="E18" s="6"/>
      <c r="F18" s="6"/>
      <c r="G18" s="6" t="s">
        <v>15</v>
      </c>
      <c r="H18" s="6" t="s">
        <v>16</v>
      </c>
      <c r="I18" s="3"/>
      <c r="J18" s="3"/>
    </row>
    <row r="19" spans="1:10" ht="40.049999999999997" customHeight="1" x14ac:dyDescent="0.3">
      <c r="A19" s="7">
        <v>12</v>
      </c>
      <c r="B19" s="8" t="s">
        <v>39</v>
      </c>
      <c r="C19" s="9" t="s">
        <v>40</v>
      </c>
      <c r="D19" s="5" t="s">
        <v>14</v>
      </c>
      <c r="E19" s="10"/>
      <c r="F19" s="10"/>
      <c r="G19" s="10" t="s">
        <v>15</v>
      </c>
      <c r="H19" s="10" t="s">
        <v>16</v>
      </c>
      <c r="I19" s="8"/>
      <c r="J19" s="8"/>
    </row>
    <row r="20" spans="1:10" ht="40.049999999999997" customHeight="1" x14ac:dyDescent="0.3">
      <c r="A20" s="2">
        <v>13</v>
      </c>
      <c r="B20" s="3" t="s">
        <v>41</v>
      </c>
      <c r="C20" s="4" t="s">
        <v>42</v>
      </c>
      <c r="D20" s="5" t="s">
        <v>14</v>
      </c>
      <c r="E20" s="6"/>
      <c r="F20" s="6"/>
      <c r="G20" s="6" t="s">
        <v>15</v>
      </c>
      <c r="H20" s="6" t="s">
        <v>16</v>
      </c>
      <c r="I20" s="3"/>
      <c r="J20" s="3"/>
    </row>
    <row r="21" spans="1:10" ht="40.049999999999997" customHeight="1" x14ac:dyDescent="0.3">
      <c r="A21" s="7">
        <v>14</v>
      </c>
      <c r="B21" s="8" t="s">
        <v>43</v>
      </c>
      <c r="C21" s="9" t="s">
        <v>44</v>
      </c>
      <c r="D21" s="5" t="s">
        <v>14</v>
      </c>
      <c r="E21" s="10"/>
      <c r="F21" s="10"/>
      <c r="G21" s="10" t="s">
        <v>15</v>
      </c>
      <c r="H21" s="10" t="s">
        <v>16</v>
      </c>
      <c r="I21" s="8"/>
      <c r="J21" s="8"/>
    </row>
    <row r="22" spans="1:10" ht="40.049999999999997" customHeight="1" x14ac:dyDescent="0.3">
      <c r="A22" s="2">
        <v>15</v>
      </c>
      <c r="B22" s="3" t="s">
        <v>45</v>
      </c>
      <c r="C22" s="4" t="s">
        <v>46</v>
      </c>
      <c r="D22" s="5" t="s">
        <v>14</v>
      </c>
      <c r="E22" s="6"/>
      <c r="F22" s="6"/>
      <c r="G22" s="6" t="s">
        <v>15</v>
      </c>
      <c r="H22" s="6" t="s">
        <v>16</v>
      </c>
      <c r="I22" s="3"/>
      <c r="J22" s="3"/>
    </row>
    <row r="23" spans="1:10" ht="40.049999999999997" customHeight="1" x14ac:dyDescent="0.3">
      <c r="A23" s="7">
        <v>16</v>
      </c>
      <c r="B23" s="8" t="s">
        <v>47</v>
      </c>
      <c r="C23" s="9" t="s">
        <v>48</v>
      </c>
      <c r="D23" s="5" t="s">
        <v>14</v>
      </c>
      <c r="E23" s="10"/>
      <c r="F23" s="10"/>
      <c r="G23" s="10" t="s">
        <v>15</v>
      </c>
      <c r="H23" s="10" t="s">
        <v>16</v>
      </c>
      <c r="I23" s="8"/>
      <c r="J23" s="8"/>
    </row>
    <row r="24" spans="1:10" ht="40.049999999999997" customHeight="1" x14ac:dyDescent="0.3">
      <c r="A24" s="2">
        <v>17</v>
      </c>
      <c r="B24" s="3" t="s">
        <v>49</v>
      </c>
      <c r="C24" s="4" t="s">
        <v>50</v>
      </c>
      <c r="D24" s="5" t="s">
        <v>14</v>
      </c>
      <c r="E24" s="6"/>
      <c r="F24" s="6"/>
      <c r="G24" s="6" t="s">
        <v>15</v>
      </c>
      <c r="H24" s="6" t="s">
        <v>16</v>
      </c>
      <c r="I24" s="3"/>
      <c r="J24" s="3"/>
    </row>
    <row r="25" spans="1:10" ht="40.049999999999997" customHeight="1" x14ac:dyDescent="0.3">
      <c r="A25" s="7">
        <v>18</v>
      </c>
      <c r="B25" s="8" t="s">
        <v>51</v>
      </c>
      <c r="C25" s="9" t="s">
        <v>52</v>
      </c>
      <c r="D25" s="5" t="s">
        <v>14</v>
      </c>
      <c r="E25" s="10"/>
      <c r="F25" s="10"/>
      <c r="G25" s="10" t="s">
        <v>15</v>
      </c>
      <c r="H25" s="10" t="s">
        <v>16</v>
      </c>
      <c r="I25" s="8"/>
      <c r="J25" s="8"/>
    </row>
    <row r="26" spans="1:10" ht="40.049999999999997" customHeight="1" x14ac:dyDescent="0.3">
      <c r="A26" s="2">
        <v>19</v>
      </c>
      <c r="B26" s="3" t="s">
        <v>53</v>
      </c>
      <c r="C26" s="4" t="s">
        <v>54</v>
      </c>
      <c r="D26" s="5" t="s">
        <v>14</v>
      </c>
      <c r="E26" s="6"/>
      <c r="F26" s="6"/>
      <c r="G26" s="6" t="s">
        <v>15</v>
      </c>
      <c r="H26" s="6" t="s">
        <v>16</v>
      </c>
      <c r="I26" s="3"/>
      <c r="J26" s="3"/>
    </row>
    <row r="27" spans="1:10" ht="40.049999999999997" customHeight="1" x14ac:dyDescent="0.3">
      <c r="A27" s="7">
        <v>20</v>
      </c>
      <c r="B27" s="8" t="s">
        <v>55</v>
      </c>
      <c r="C27" s="9" t="s">
        <v>56</v>
      </c>
      <c r="D27" s="5" t="s">
        <v>14</v>
      </c>
      <c r="E27" s="10"/>
      <c r="F27" s="10"/>
      <c r="G27" s="10" t="s">
        <v>15</v>
      </c>
      <c r="H27" s="10" t="s">
        <v>16</v>
      </c>
      <c r="I27" s="8"/>
      <c r="J27" s="8"/>
    </row>
    <row r="28" spans="1:10" ht="40.049999999999997" customHeight="1" x14ac:dyDescent="0.3">
      <c r="A28" s="2">
        <v>21</v>
      </c>
      <c r="B28" s="3" t="s">
        <v>57</v>
      </c>
      <c r="C28" s="4" t="s">
        <v>58</v>
      </c>
      <c r="D28" s="5" t="s">
        <v>14</v>
      </c>
      <c r="E28" s="6"/>
      <c r="F28" s="6"/>
      <c r="G28" s="6" t="s">
        <v>15</v>
      </c>
      <c r="H28" s="6" t="s">
        <v>16</v>
      </c>
      <c r="I28" s="3"/>
      <c r="J28" s="3"/>
    </row>
    <row r="29" spans="1:10" ht="40.049999999999997" customHeight="1" x14ac:dyDescent="0.3">
      <c r="A29" s="7">
        <v>22</v>
      </c>
      <c r="B29" s="8" t="s">
        <v>59</v>
      </c>
      <c r="C29" s="9" t="s">
        <v>60</v>
      </c>
      <c r="D29" s="5" t="s">
        <v>14</v>
      </c>
      <c r="E29" s="10"/>
      <c r="F29" s="10"/>
      <c r="G29" s="10" t="s">
        <v>15</v>
      </c>
      <c r="H29" s="10" t="s">
        <v>16</v>
      </c>
      <c r="I29" s="8"/>
      <c r="J29" s="8"/>
    </row>
    <row r="30" spans="1:10" ht="40.049999999999997" customHeight="1" x14ac:dyDescent="0.3">
      <c r="A30" s="2">
        <v>23</v>
      </c>
      <c r="B30" s="3" t="s">
        <v>61</v>
      </c>
      <c r="C30" s="4" t="s">
        <v>62</v>
      </c>
      <c r="D30" s="5" t="s">
        <v>14</v>
      </c>
      <c r="E30" s="6"/>
      <c r="F30" s="6"/>
      <c r="G30" s="6" t="s">
        <v>15</v>
      </c>
      <c r="H30" s="6" t="s">
        <v>16</v>
      </c>
      <c r="I30" s="3"/>
      <c r="J30" s="3"/>
    </row>
    <row r="31" spans="1:10" ht="40.049999999999997" customHeight="1" x14ac:dyDescent="0.3">
      <c r="A31" s="7">
        <v>24</v>
      </c>
      <c r="B31" s="8" t="s">
        <v>63</v>
      </c>
      <c r="C31" s="9" t="s">
        <v>64</v>
      </c>
      <c r="D31" s="5" t="s">
        <v>14</v>
      </c>
      <c r="E31" s="10"/>
      <c r="F31" s="10"/>
      <c r="G31" s="10" t="s">
        <v>15</v>
      </c>
      <c r="H31" s="10" t="s">
        <v>16</v>
      </c>
      <c r="I31" s="8"/>
      <c r="J31" s="8"/>
    </row>
    <row r="32" spans="1:10" ht="22.05" customHeight="1" x14ac:dyDescent="0.3">
      <c r="A32" s="26" t="s">
        <v>65</v>
      </c>
      <c r="B32" s="27"/>
      <c r="C32" s="27"/>
      <c r="D32" s="27"/>
      <c r="E32" s="27"/>
      <c r="F32" s="27"/>
      <c r="G32" s="27"/>
      <c r="H32" s="27"/>
      <c r="I32" s="27"/>
    </row>
    <row r="33" spans="1:10" ht="40.049999999999997" customHeight="1" x14ac:dyDescent="0.3">
      <c r="A33" s="7">
        <v>25</v>
      </c>
      <c r="B33" s="8" t="s">
        <v>66</v>
      </c>
      <c r="C33" s="9" t="s">
        <v>67</v>
      </c>
      <c r="D33" s="5" t="s">
        <v>14</v>
      </c>
      <c r="E33" s="10"/>
      <c r="F33" s="10"/>
      <c r="G33" s="10" t="s">
        <v>15</v>
      </c>
      <c r="H33" s="10" t="s">
        <v>16</v>
      </c>
      <c r="I33" s="8"/>
      <c r="J33" s="8"/>
    </row>
    <row r="34" spans="1:10" ht="40.049999999999997" customHeight="1" x14ac:dyDescent="0.3">
      <c r="A34" s="2">
        <v>26</v>
      </c>
      <c r="B34" s="3" t="s">
        <v>68</v>
      </c>
      <c r="C34" s="4" t="s">
        <v>69</v>
      </c>
      <c r="D34" s="5" t="s">
        <v>14</v>
      </c>
      <c r="E34" s="6"/>
      <c r="F34" s="6"/>
      <c r="G34" s="6" t="s">
        <v>15</v>
      </c>
      <c r="H34" s="6" t="s">
        <v>16</v>
      </c>
      <c r="I34" s="3"/>
      <c r="J34" s="3"/>
    </row>
    <row r="35" spans="1:10" ht="40.049999999999997" customHeight="1" x14ac:dyDescent="0.3">
      <c r="A35" s="7">
        <v>27</v>
      </c>
      <c r="B35" s="8" t="s">
        <v>70</v>
      </c>
      <c r="C35" s="9" t="s">
        <v>71</v>
      </c>
      <c r="D35" s="5" t="s">
        <v>14</v>
      </c>
      <c r="E35" s="10"/>
      <c r="F35" s="10"/>
      <c r="G35" s="10" t="s">
        <v>15</v>
      </c>
      <c r="H35" s="10" t="s">
        <v>16</v>
      </c>
      <c r="I35" s="8"/>
      <c r="J35" s="8"/>
    </row>
    <row r="36" spans="1:10" ht="40.049999999999997" customHeight="1" x14ac:dyDescent="0.3">
      <c r="A36" s="2">
        <v>28</v>
      </c>
      <c r="B36" s="3" t="s">
        <v>72</v>
      </c>
      <c r="C36" s="4" t="s">
        <v>73</v>
      </c>
      <c r="D36" s="5" t="s">
        <v>14</v>
      </c>
      <c r="E36" s="6"/>
      <c r="F36" s="6"/>
      <c r="G36" s="6" t="s">
        <v>15</v>
      </c>
      <c r="H36" s="6" t="s">
        <v>16</v>
      </c>
      <c r="I36" s="3"/>
      <c r="J36" s="3"/>
    </row>
    <row r="37" spans="1:10" ht="40.049999999999997" customHeight="1" x14ac:dyDescent="0.3">
      <c r="A37" s="7">
        <v>29</v>
      </c>
      <c r="B37" s="8" t="s">
        <v>74</v>
      </c>
      <c r="C37" s="9" t="s">
        <v>75</v>
      </c>
      <c r="D37" s="5" t="s">
        <v>14</v>
      </c>
      <c r="E37" s="10"/>
      <c r="F37" s="10"/>
      <c r="G37" s="10" t="s">
        <v>15</v>
      </c>
      <c r="H37" s="10" t="s">
        <v>16</v>
      </c>
      <c r="I37" s="8"/>
      <c r="J37" s="8"/>
    </row>
    <row r="38" spans="1:10" ht="40.049999999999997" customHeight="1" x14ac:dyDescent="0.3">
      <c r="A38" s="2">
        <v>30</v>
      </c>
      <c r="B38" s="3" t="s">
        <v>76</v>
      </c>
      <c r="C38" s="4" t="s">
        <v>77</v>
      </c>
      <c r="D38" s="5" t="s">
        <v>14</v>
      </c>
      <c r="E38" s="6"/>
      <c r="F38" s="6"/>
      <c r="G38" s="6" t="s">
        <v>15</v>
      </c>
      <c r="H38" s="6" t="s">
        <v>16</v>
      </c>
      <c r="I38" s="3"/>
      <c r="J38" s="3"/>
    </row>
    <row r="39" spans="1:10" ht="40.049999999999997" customHeight="1" x14ac:dyDescent="0.3">
      <c r="A39" s="7">
        <v>31</v>
      </c>
      <c r="B39" s="8" t="s">
        <v>78</v>
      </c>
      <c r="C39" s="9" t="s">
        <v>79</v>
      </c>
      <c r="D39" s="5" t="s">
        <v>14</v>
      </c>
      <c r="E39" s="10"/>
      <c r="F39" s="10"/>
      <c r="G39" s="10" t="s">
        <v>15</v>
      </c>
      <c r="H39" s="10" t="s">
        <v>16</v>
      </c>
      <c r="I39" s="8"/>
      <c r="J39" s="8"/>
    </row>
    <row r="40" spans="1:10" ht="22.05" customHeight="1" x14ac:dyDescent="0.3">
      <c r="A40" s="26" t="s">
        <v>80</v>
      </c>
      <c r="B40" s="27"/>
      <c r="C40" s="27"/>
      <c r="D40" s="27"/>
      <c r="E40" s="27"/>
      <c r="F40" s="27"/>
      <c r="G40" s="27"/>
      <c r="H40" s="27"/>
      <c r="I40" s="27"/>
    </row>
    <row r="41" spans="1:10" ht="40.049999999999997" customHeight="1" x14ac:dyDescent="0.3">
      <c r="A41" s="7">
        <v>32</v>
      </c>
      <c r="B41" s="8" t="s">
        <v>81</v>
      </c>
      <c r="C41" s="9" t="s">
        <v>82</v>
      </c>
      <c r="D41" s="5" t="s">
        <v>14</v>
      </c>
      <c r="E41" s="10"/>
      <c r="F41" s="10"/>
      <c r="G41" s="10" t="s">
        <v>15</v>
      </c>
      <c r="H41" s="10" t="s">
        <v>16</v>
      </c>
      <c r="I41" s="8"/>
      <c r="J41" s="8"/>
    </row>
    <row r="42" spans="1:10" ht="40.049999999999997" customHeight="1" x14ac:dyDescent="0.3">
      <c r="A42" s="2">
        <v>33</v>
      </c>
      <c r="B42" s="3" t="s">
        <v>83</v>
      </c>
      <c r="C42" s="4" t="s">
        <v>84</v>
      </c>
      <c r="D42" s="5" t="s">
        <v>14</v>
      </c>
      <c r="E42" s="6"/>
      <c r="F42" s="6"/>
      <c r="G42" s="6" t="s">
        <v>15</v>
      </c>
      <c r="H42" s="6" t="s">
        <v>16</v>
      </c>
      <c r="I42" s="3"/>
      <c r="J42" s="3"/>
    </row>
    <row r="43" spans="1:10" ht="40.049999999999997" customHeight="1" x14ac:dyDescent="0.3">
      <c r="A43" s="7">
        <v>34</v>
      </c>
      <c r="B43" s="8" t="s">
        <v>85</v>
      </c>
      <c r="C43" s="9" t="s">
        <v>86</v>
      </c>
      <c r="D43" s="5" t="s">
        <v>14</v>
      </c>
      <c r="E43" s="10"/>
      <c r="F43" s="10"/>
      <c r="G43" s="10" t="s">
        <v>15</v>
      </c>
      <c r="H43" s="10" t="s">
        <v>16</v>
      </c>
      <c r="I43" s="8"/>
      <c r="J43" s="8"/>
    </row>
    <row r="44" spans="1:10" ht="40.049999999999997" customHeight="1" x14ac:dyDescent="0.3">
      <c r="A44" s="2">
        <v>35</v>
      </c>
      <c r="B44" s="3" t="s">
        <v>87</v>
      </c>
      <c r="C44" s="4" t="s">
        <v>88</v>
      </c>
      <c r="D44" s="5" t="s">
        <v>14</v>
      </c>
      <c r="E44" s="6"/>
      <c r="F44" s="6"/>
      <c r="G44" s="6" t="s">
        <v>15</v>
      </c>
      <c r="H44" s="6" t="s">
        <v>16</v>
      </c>
      <c r="I44" s="3"/>
      <c r="J44" s="3"/>
    </row>
    <row r="45" spans="1:10" ht="22.05" customHeight="1" x14ac:dyDescent="0.3">
      <c r="A45" s="26" t="s">
        <v>89</v>
      </c>
      <c r="B45" s="27"/>
      <c r="C45" s="27"/>
      <c r="D45" s="27"/>
      <c r="E45" s="27"/>
      <c r="F45" s="27"/>
      <c r="G45" s="27"/>
      <c r="H45" s="27"/>
      <c r="I45" s="27"/>
    </row>
    <row r="46" spans="1:10" ht="40.049999999999997" customHeight="1" x14ac:dyDescent="0.3">
      <c r="A46" s="2">
        <v>36</v>
      </c>
      <c r="B46" s="3" t="s">
        <v>90</v>
      </c>
      <c r="C46" s="4" t="s">
        <v>91</v>
      </c>
      <c r="D46" s="5" t="s">
        <v>14</v>
      </c>
      <c r="E46" s="6"/>
      <c r="F46" s="6"/>
      <c r="G46" s="6" t="s">
        <v>15</v>
      </c>
      <c r="H46" s="6" t="s">
        <v>16</v>
      </c>
      <c r="I46" s="3"/>
      <c r="J46" s="3"/>
    </row>
    <row r="47" spans="1:10" ht="40.049999999999997" customHeight="1" x14ac:dyDescent="0.3">
      <c r="A47" s="7">
        <v>37</v>
      </c>
      <c r="B47" s="8" t="s">
        <v>92</v>
      </c>
      <c r="C47" s="9" t="s">
        <v>93</v>
      </c>
      <c r="D47" s="5" t="s">
        <v>14</v>
      </c>
      <c r="E47" s="10"/>
      <c r="F47" s="10"/>
      <c r="G47" s="10" t="s">
        <v>15</v>
      </c>
      <c r="H47" s="10" t="s">
        <v>16</v>
      </c>
      <c r="I47" s="8"/>
      <c r="J47" s="8"/>
    </row>
    <row r="48" spans="1:10" ht="40.049999999999997" customHeight="1" x14ac:dyDescent="0.3">
      <c r="A48" s="2">
        <v>38</v>
      </c>
      <c r="B48" s="3" t="s">
        <v>94</v>
      </c>
      <c r="C48" s="4" t="s">
        <v>95</v>
      </c>
      <c r="D48" s="5" t="s">
        <v>14</v>
      </c>
      <c r="E48" s="6"/>
      <c r="F48" s="6"/>
      <c r="G48" s="6" t="s">
        <v>15</v>
      </c>
      <c r="H48" s="6" t="s">
        <v>16</v>
      </c>
      <c r="I48" s="3"/>
      <c r="J48" s="3"/>
    </row>
    <row r="49" spans="1:10" ht="40.049999999999997" customHeight="1" x14ac:dyDescent="0.3">
      <c r="A49" s="7">
        <v>39</v>
      </c>
      <c r="B49" s="8" t="s">
        <v>96</v>
      </c>
      <c r="C49" s="9" t="s">
        <v>97</v>
      </c>
      <c r="D49" s="5" t="s">
        <v>14</v>
      </c>
      <c r="E49" s="10"/>
      <c r="F49" s="10"/>
      <c r="G49" s="10" t="s">
        <v>15</v>
      </c>
      <c r="H49" s="10" t="s">
        <v>16</v>
      </c>
      <c r="I49" s="8"/>
      <c r="J49" s="8"/>
    </row>
    <row r="50" spans="1:10" ht="40.049999999999997" customHeight="1" x14ac:dyDescent="0.3">
      <c r="A50" s="2">
        <v>40</v>
      </c>
      <c r="B50" s="3" t="s">
        <v>98</v>
      </c>
      <c r="C50" s="4" t="s">
        <v>99</v>
      </c>
      <c r="D50" s="5" t="s">
        <v>14</v>
      </c>
      <c r="E50" s="6"/>
      <c r="F50" s="6"/>
      <c r="G50" s="6" t="s">
        <v>15</v>
      </c>
      <c r="H50" s="6" t="s">
        <v>16</v>
      </c>
      <c r="I50" s="3"/>
      <c r="J50" s="3"/>
    </row>
    <row r="51" spans="1:10" ht="40.049999999999997" customHeight="1" x14ac:dyDescent="0.3">
      <c r="A51" s="7">
        <v>41</v>
      </c>
      <c r="B51" s="8" t="s">
        <v>100</v>
      </c>
      <c r="C51" s="9" t="s">
        <v>101</v>
      </c>
      <c r="D51" s="5" t="s">
        <v>14</v>
      </c>
      <c r="E51" s="10"/>
      <c r="F51" s="10"/>
      <c r="G51" s="10" t="s">
        <v>15</v>
      </c>
      <c r="H51" s="10" t="s">
        <v>16</v>
      </c>
      <c r="I51" s="8"/>
      <c r="J51" s="8"/>
    </row>
    <row r="52" spans="1:10" ht="40.049999999999997" customHeight="1" x14ac:dyDescent="0.3">
      <c r="A52" s="2">
        <v>42</v>
      </c>
      <c r="B52" s="3" t="s">
        <v>102</v>
      </c>
      <c r="C52" s="4" t="s">
        <v>103</v>
      </c>
      <c r="D52" s="5" t="s">
        <v>14</v>
      </c>
      <c r="E52" s="6"/>
      <c r="F52" s="6"/>
      <c r="G52" s="6" t="s">
        <v>15</v>
      </c>
      <c r="H52" s="6" t="s">
        <v>16</v>
      </c>
      <c r="I52" s="3"/>
      <c r="J52" s="3"/>
    </row>
    <row r="53" spans="1:10" ht="40.049999999999997" customHeight="1" x14ac:dyDescent="0.3">
      <c r="A53" s="7">
        <v>43</v>
      </c>
      <c r="B53" s="8" t="s">
        <v>104</v>
      </c>
      <c r="C53" s="9" t="s">
        <v>105</v>
      </c>
      <c r="D53" s="5" t="s">
        <v>14</v>
      </c>
      <c r="E53" s="10"/>
      <c r="F53" s="10"/>
      <c r="G53" s="10" t="s">
        <v>15</v>
      </c>
      <c r="H53" s="10" t="s">
        <v>16</v>
      </c>
      <c r="I53" s="8"/>
      <c r="J53" s="8"/>
    </row>
    <row r="54" spans="1:10" ht="40.049999999999997" customHeight="1" x14ac:dyDescent="0.3">
      <c r="A54" s="2">
        <v>44</v>
      </c>
      <c r="B54" s="3" t="s">
        <v>106</v>
      </c>
      <c r="C54" s="4" t="s">
        <v>107</v>
      </c>
      <c r="D54" s="5" t="s">
        <v>14</v>
      </c>
      <c r="E54" s="6"/>
      <c r="F54" s="6"/>
      <c r="G54" s="6" t="s">
        <v>15</v>
      </c>
      <c r="H54" s="6" t="s">
        <v>16</v>
      </c>
      <c r="I54" s="3"/>
      <c r="J54" s="3"/>
    </row>
    <row r="55" spans="1:10" ht="40.049999999999997" customHeight="1" x14ac:dyDescent="0.3">
      <c r="A55" s="7">
        <v>45</v>
      </c>
      <c r="B55" s="8" t="s">
        <v>108</v>
      </c>
      <c r="C55" s="9" t="s">
        <v>109</v>
      </c>
      <c r="D55" s="5" t="s">
        <v>14</v>
      </c>
      <c r="E55" s="10"/>
      <c r="F55" s="10"/>
      <c r="G55" s="10" t="s">
        <v>15</v>
      </c>
      <c r="H55" s="10" t="s">
        <v>16</v>
      </c>
      <c r="I55" s="8"/>
      <c r="J55" s="8"/>
    </row>
    <row r="56" spans="1:10" ht="40.049999999999997" customHeight="1" x14ac:dyDescent="0.3">
      <c r="A56" s="2">
        <v>46</v>
      </c>
      <c r="B56" s="3" t="s">
        <v>110</v>
      </c>
      <c r="C56" s="4" t="s">
        <v>111</v>
      </c>
      <c r="D56" s="5" t="s">
        <v>14</v>
      </c>
      <c r="E56" s="6"/>
      <c r="F56" s="6"/>
      <c r="G56" s="6" t="s">
        <v>15</v>
      </c>
      <c r="H56" s="6" t="s">
        <v>16</v>
      </c>
      <c r="I56" s="3"/>
      <c r="J56" s="3"/>
    </row>
    <row r="57" spans="1:10" ht="22.05" customHeight="1" x14ac:dyDescent="0.3">
      <c r="A57" s="26" t="s">
        <v>112</v>
      </c>
      <c r="B57" s="27"/>
      <c r="C57" s="27"/>
      <c r="D57" s="27"/>
      <c r="E57" s="27"/>
      <c r="F57" s="27"/>
      <c r="G57" s="27"/>
      <c r="H57" s="27"/>
      <c r="I57" s="27"/>
    </row>
    <row r="58" spans="1:10" ht="40.049999999999997" customHeight="1" x14ac:dyDescent="0.3">
      <c r="A58" s="2">
        <v>47</v>
      </c>
      <c r="B58" s="3" t="s">
        <v>113</v>
      </c>
      <c r="C58" s="4" t="s">
        <v>114</v>
      </c>
      <c r="D58" s="5" t="s">
        <v>14</v>
      </c>
      <c r="E58" s="6"/>
      <c r="F58" s="6"/>
      <c r="G58" s="6" t="s">
        <v>15</v>
      </c>
      <c r="H58" s="6" t="s">
        <v>16</v>
      </c>
      <c r="I58" s="3"/>
      <c r="J58" s="3"/>
    </row>
    <row r="59" spans="1:10" ht="40.049999999999997" customHeight="1" x14ac:dyDescent="0.3">
      <c r="A59" s="7">
        <v>48</v>
      </c>
      <c r="B59" s="8" t="s">
        <v>115</v>
      </c>
      <c r="C59" s="9" t="s">
        <v>116</v>
      </c>
      <c r="D59" s="5" t="s">
        <v>14</v>
      </c>
      <c r="E59" s="10"/>
      <c r="F59" s="10"/>
      <c r="G59" s="10" t="s">
        <v>15</v>
      </c>
      <c r="H59" s="10" t="s">
        <v>16</v>
      </c>
      <c r="I59" s="8"/>
      <c r="J59" s="8"/>
    </row>
    <row r="60" spans="1:10" ht="40.049999999999997" customHeight="1" x14ac:dyDescent="0.3">
      <c r="A60" s="2">
        <v>49</v>
      </c>
      <c r="B60" s="3" t="s">
        <v>117</v>
      </c>
      <c r="C60" s="4" t="s">
        <v>118</v>
      </c>
      <c r="D60" s="5" t="s">
        <v>14</v>
      </c>
      <c r="E60" s="6"/>
      <c r="F60" s="6"/>
      <c r="G60" s="6" t="s">
        <v>15</v>
      </c>
      <c r="H60" s="6" t="s">
        <v>16</v>
      </c>
      <c r="I60" s="3"/>
      <c r="J60" s="3"/>
    </row>
    <row r="61" spans="1:10" ht="40.049999999999997" customHeight="1" x14ac:dyDescent="0.3">
      <c r="A61" s="7">
        <v>50</v>
      </c>
      <c r="B61" s="8" t="s">
        <v>119</v>
      </c>
      <c r="C61" s="9" t="s">
        <v>120</v>
      </c>
      <c r="D61" s="5" t="s">
        <v>14</v>
      </c>
      <c r="E61" s="10"/>
      <c r="F61" s="10"/>
      <c r="G61" s="10" t="s">
        <v>15</v>
      </c>
      <c r="H61" s="10" t="s">
        <v>16</v>
      </c>
      <c r="I61" s="8"/>
      <c r="J61" s="8"/>
    </row>
    <row r="62" spans="1:10" ht="40.049999999999997" customHeight="1" x14ac:dyDescent="0.3">
      <c r="A62" s="2">
        <v>51</v>
      </c>
      <c r="B62" s="3" t="s">
        <v>121</v>
      </c>
      <c r="C62" s="4" t="s">
        <v>122</v>
      </c>
      <c r="D62" s="5" t="s">
        <v>14</v>
      </c>
      <c r="E62" s="6"/>
      <c r="F62" s="6"/>
      <c r="G62" s="6" t="s">
        <v>15</v>
      </c>
      <c r="H62" s="6" t="s">
        <v>16</v>
      </c>
      <c r="I62" s="3"/>
      <c r="J62" s="3"/>
    </row>
    <row r="63" spans="1:10" ht="40.049999999999997" customHeight="1" x14ac:dyDescent="0.3">
      <c r="A63" s="7">
        <v>52</v>
      </c>
      <c r="B63" s="8" t="s">
        <v>123</v>
      </c>
      <c r="C63" s="9" t="s">
        <v>124</v>
      </c>
      <c r="D63" s="5" t="s">
        <v>14</v>
      </c>
      <c r="E63" s="10"/>
      <c r="F63" s="10"/>
      <c r="G63" s="10" t="s">
        <v>15</v>
      </c>
      <c r="H63" s="10" t="s">
        <v>16</v>
      </c>
      <c r="I63" s="8"/>
      <c r="J63" s="8"/>
    </row>
    <row r="64" spans="1:10" ht="40.049999999999997" customHeight="1" x14ac:dyDescent="0.3">
      <c r="A64" s="2">
        <v>53</v>
      </c>
      <c r="B64" s="3" t="s">
        <v>125</v>
      </c>
      <c r="C64" s="4" t="s">
        <v>126</v>
      </c>
      <c r="D64" s="5" t="s">
        <v>14</v>
      </c>
      <c r="E64" s="6"/>
      <c r="F64" s="6"/>
      <c r="G64" s="6" t="s">
        <v>15</v>
      </c>
      <c r="H64" s="6" t="s">
        <v>16</v>
      </c>
      <c r="I64" s="3"/>
      <c r="J64" s="3"/>
    </row>
    <row r="65" spans="1:10" ht="22.05" customHeight="1" x14ac:dyDescent="0.3">
      <c r="A65" s="26" t="s">
        <v>127</v>
      </c>
      <c r="B65" s="27"/>
      <c r="C65" s="27"/>
      <c r="D65" s="27"/>
      <c r="E65" s="27"/>
      <c r="F65" s="27"/>
      <c r="G65" s="27"/>
      <c r="H65" s="27"/>
      <c r="I65" s="27"/>
    </row>
    <row r="66" spans="1:10" ht="40.049999999999997" customHeight="1" x14ac:dyDescent="0.3">
      <c r="A66" s="2">
        <v>54</v>
      </c>
      <c r="B66" s="3" t="s">
        <v>128</v>
      </c>
      <c r="C66" s="4" t="s">
        <v>129</v>
      </c>
      <c r="D66" s="5" t="s">
        <v>14</v>
      </c>
      <c r="E66" s="6"/>
      <c r="F66" s="6"/>
      <c r="G66" s="6" t="s">
        <v>15</v>
      </c>
      <c r="H66" s="6" t="s">
        <v>16</v>
      </c>
      <c r="I66" s="3"/>
      <c r="J66" s="3"/>
    </row>
    <row r="67" spans="1:10" ht="40.049999999999997" customHeight="1" x14ac:dyDescent="0.3">
      <c r="A67" s="7">
        <v>55</v>
      </c>
      <c r="B67" s="8" t="s">
        <v>130</v>
      </c>
      <c r="C67" s="9" t="s">
        <v>131</v>
      </c>
      <c r="D67" s="5" t="s">
        <v>14</v>
      </c>
      <c r="E67" s="10"/>
      <c r="F67" s="10"/>
      <c r="G67" s="10" t="s">
        <v>15</v>
      </c>
      <c r="H67" s="10" t="s">
        <v>16</v>
      </c>
      <c r="I67" s="8"/>
      <c r="J67" s="8"/>
    </row>
    <row r="68" spans="1:10" ht="40.049999999999997" customHeight="1" x14ac:dyDescent="0.3">
      <c r="A68" s="2">
        <v>56</v>
      </c>
      <c r="B68" s="3" t="s">
        <v>132</v>
      </c>
      <c r="C68" s="4" t="s">
        <v>133</v>
      </c>
      <c r="D68" s="5" t="s">
        <v>14</v>
      </c>
      <c r="E68" s="6"/>
      <c r="F68" s="6"/>
      <c r="G68" s="6" t="s">
        <v>15</v>
      </c>
      <c r="H68" s="6" t="s">
        <v>16</v>
      </c>
      <c r="I68" s="3"/>
      <c r="J68" s="3"/>
    </row>
    <row r="69" spans="1:10" ht="40.049999999999997" customHeight="1" x14ac:dyDescent="0.3">
      <c r="A69" s="7">
        <v>57</v>
      </c>
      <c r="B69" s="8" t="s">
        <v>134</v>
      </c>
      <c r="C69" s="9" t="s">
        <v>135</v>
      </c>
      <c r="D69" s="5" t="s">
        <v>14</v>
      </c>
      <c r="E69" s="10"/>
      <c r="F69" s="10"/>
      <c r="G69" s="10" t="s">
        <v>15</v>
      </c>
      <c r="H69" s="10" t="s">
        <v>16</v>
      </c>
      <c r="I69" s="8"/>
      <c r="J69" s="8"/>
    </row>
    <row r="70" spans="1:10" ht="40.049999999999997" customHeight="1" x14ac:dyDescent="0.3">
      <c r="A70" s="2">
        <v>58</v>
      </c>
      <c r="B70" s="3" t="s">
        <v>136</v>
      </c>
      <c r="C70" s="4" t="s">
        <v>137</v>
      </c>
      <c r="D70" s="5" t="s">
        <v>14</v>
      </c>
      <c r="E70" s="6"/>
      <c r="F70" s="6"/>
      <c r="G70" s="6" t="s">
        <v>15</v>
      </c>
      <c r="H70" s="6" t="s">
        <v>16</v>
      </c>
      <c r="I70" s="3"/>
      <c r="J70" s="3"/>
    </row>
    <row r="71" spans="1:10" ht="40.049999999999997" customHeight="1" x14ac:dyDescent="0.3">
      <c r="A71" s="7">
        <v>59</v>
      </c>
      <c r="B71" s="8" t="s">
        <v>138</v>
      </c>
      <c r="C71" s="9" t="s">
        <v>139</v>
      </c>
      <c r="D71" s="5" t="s">
        <v>14</v>
      </c>
      <c r="E71" s="10"/>
      <c r="F71" s="10"/>
      <c r="G71" s="10" t="s">
        <v>15</v>
      </c>
      <c r="H71" s="10" t="s">
        <v>16</v>
      </c>
      <c r="I71" s="8"/>
      <c r="J71" s="8"/>
    </row>
    <row r="72" spans="1:10" ht="40.049999999999997" customHeight="1" x14ac:dyDescent="0.3">
      <c r="A72" s="2">
        <v>60</v>
      </c>
      <c r="B72" s="3" t="s">
        <v>140</v>
      </c>
      <c r="C72" s="4" t="s">
        <v>141</v>
      </c>
      <c r="D72" s="5" t="s">
        <v>14</v>
      </c>
      <c r="E72" s="6"/>
      <c r="F72" s="6"/>
      <c r="G72" s="6" t="s">
        <v>15</v>
      </c>
      <c r="H72" s="6" t="s">
        <v>16</v>
      </c>
      <c r="I72" s="3"/>
      <c r="J72" s="3"/>
    </row>
    <row r="73" spans="1:10" ht="40.049999999999997" customHeight="1" x14ac:dyDescent="0.3">
      <c r="A73" s="7">
        <v>61</v>
      </c>
      <c r="B73" s="8" t="s">
        <v>142</v>
      </c>
      <c r="C73" s="9" t="s">
        <v>143</v>
      </c>
      <c r="D73" s="5" t="s">
        <v>14</v>
      </c>
      <c r="E73" s="10"/>
      <c r="F73" s="10"/>
      <c r="G73" s="10" t="s">
        <v>15</v>
      </c>
      <c r="H73" s="10" t="s">
        <v>16</v>
      </c>
      <c r="I73" s="8"/>
      <c r="J73" s="8"/>
    </row>
    <row r="74" spans="1:10" ht="40.049999999999997" customHeight="1" x14ac:dyDescent="0.3">
      <c r="A74" s="2">
        <v>62</v>
      </c>
      <c r="B74" s="3" t="s">
        <v>144</v>
      </c>
      <c r="C74" s="4" t="s">
        <v>145</v>
      </c>
      <c r="D74" s="5" t="s">
        <v>14</v>
      </c>
      <c r="E74" s="6"/>
      <c r="F74" s="6"/>
      <c r="G74" s="6" t="s">
        <v>15</v>
      </c>
      <c r="H74" s="6" t="s">
        <v>16</v>
      </c>
      <c r="I74" s="3"/>
      <c r="J74" s="3"/>
    </row>
  </sheetData>
  <mergeCells count="11">
    <mergeCell ref="A1:J1"/>
    <mergeCell ref="A65:I65"/>
    <mergeCell ref="A57:I57"/>
    <mergeCell ref="A2:I2"/>
    <mergeCell ref="A11:I11"/>
    <mergeCell ref="A32:I32"/>
    <mergeCell ref="A17:I17"/>
    <mergeCell ref="A40:I40"/>
    <mergeCell ref="A45:I45"/>
    <mergeCell ref="A3:I3"/>
    <mergeCell ref="A5:J5"/>
  </mergeCells>
  <dataValidations count="3">
    <dataValidation type="list" sqref="D6:D74" xr:uid="{00000000-0002-0000-0000-000000000000}">
      <formula1>"✅ Done,🔄 In Progress,⏳ Pending"</formula1>
    </dataValidation>
    <dataValidation type="list" sqref="G6:G74" xr:uid="{00000000-0002-0000-0000-000001000000}">
      <formula1>"High,Medium,Low"</formula1>
    </dataValidation>
    <dataValidation type="list" sqref="H6:H74" xr:uid="{00000000-0002-0000-0000-000002000000}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E20"/>
  <sheetViews>
    <sheetView showGridLines="0" workbookViewId="0">
      <selection activeCell="C10" sqref="C10"/>
    </sheetView>
  </sheetViews>
  <sheetFormatPr defaultRowHeight="14.4" x14ac:dyDescent="0.3"/>
  <cols>
    <col min="1" max="1" width="32" customWidth="1"/>
    <col min="2" max="2" width="14" customWidth="1"/>
    <col min="3" max="3" width="35.6640625" customWidth="1"/>
    <col min="4" max="4" width="34.5546875" customWidth="1"/>
    <col min="5" max="5" width="22" customWidth="1"/>
  </cols>
  <sheetData>
    <row r="1" spans="1:5" ht="36" customHeight="1" x14ac:dyDescent="0.3">
      <c r="A1" s="30" t="s">
        <v>146</v>
      </c>
      <c r="B1" s="27"/>
      <c r="C1" s="27"/>
      <c r="D1" s="27"/>
      <c r="E1" s="27"/>
    </row>
    <row r="2" spans="1:5" ht="24" customHeight="1" x14ac:dyDescent="0.3">
      <c r="A2" s="11" t="s">
        <v>147</v>
      </c>
      <c r="B2" s="11" t="s">
        <v>148</v>
      </c>
      <c r="C2" s="11" t="s">
        <v>149</v>
      </c>
      <c r="D2" s="11"/>
      <c r="E2" s="11"/>
    </row>
    <row r="3" spans="1:5" ht="28.05" customHeight="1" x14ac:dyDescent="0.3">
      <c r="A3" s="12" t="s">
        <v>150</v>
      </c>
      <c r="B3" s="13">
        <f>COUNTIF('SAP ABAP Tracker'!D:D,"✅ Done")</f>
        <v>7</v>
      </c>
      <c r="C3" s="13" t="str">
        <f>REPT("█",ROUND(B3/B6*20,0))&amp;REPT("░",20-ROUND(B3/B6*20,0))</f>
        <v>██░░░░░░░░░░░░░░░░░░</v>
      </c>
    </row>
    <row r="4" spans="1:5" ht="28.05" customHeight="1" x14ac:dyDescent="0.3">
      <c r="A4" s="14" t="s">
        <v>151</v>
      </c>
      <c r="B4" s="15">
        <f>COUNTIF('SAP ABAP Tracker'!D:D,"🔄 In Progress")</f>
        <v>1</v>
      </c>
      <c r="C4" s="15"/>
    </row>
    <row r="5" spans="1:5" ht="28.05" customHeight="1" x14ac:dyDescent="0.3">
      <c r="A5" s="16" t="s">
        <v>152</v>
      </c>
      <c r="B5" s="17">
        <f>COUNTIF('SAP ABAP Tracker'!D:D,"⏳ Pending")</f>
        <v>54</v>
      </c>
      <c r="C5" s="17"/>
    </row>
    <row r="6" spans="1:5" ht="28.05" customHeight="1" x14ac:dyDescent="0.3">
      <c r="A6" s="18" t="s">
        <v>153</v>
      </c>
      <c r="B6" s="19">
        <f>B3+B4+B5</f>
        <v>62</v>
      </c>
      <c r="C6" s="19"/>
    </row>
    <row r="8" spans="1:5" ht="10.050000000000001" customHeight="1" x14ac:dyDescent="0.3"/>
    <row r="9" spans="1:5" ht="24" customHeight="1" x14ac:dyDescent="0.3">
      <c r="A9" s="31" t="s">
        <v>154</v>
      </c>
      <c r="B9" s="27"/>
      <c r="C9" s="27"/>
      <c r="D9" s="27"/>
      <c r="E9" s="27"/>
    </row>
    <row r="10" spans="1:5" ht="22.05" customHeight="1" x14ac:dyDescent="0.3">
      <c r="A10" s="11" t="s">
        <v>155</v>
      </c>
      <c r="B10" s="11" t="s">
        <v>156</v>
      </c>
      <c r="C10" s="11" t="s">
        <v>157</v>
      </c>
      <c r="D10" s="11" t="s">
        <v>158</v>
      </c>
      <c r="E10" s="11" t="s">
        <v>159</v>
      </c>
    </row>
    <row r="11" spans="1:5" ht="22.05" customHeight="1" x14ac:dyDescent="0.3">
      <c r="A11" s="20" t="s">
        <v>160</v>
      </c>
      <c r="B11" s="21">
        <v>5</v>
      </c>
      <c r="C11" s="21">
        <f>COUNTIFS('SAP ABAP Tracker'!B:B,"*SAP*",'SAP ABAP Tracker'!D:D,"✅ Done")</f>
        <v>3</v>
      </c>
      <c r="D11" s="21">
        <f>COUNTIFS('SAP ABAP Tracker'!B:B,"*SAP*",'SAP ABAP Tracker'!D:D,"🔄 In Progress")</f>
        <v>0</v>
      </c>
      <c r="E11" s="21">
        <f>COUNTIFS('SAP ABAP Tracker'!B:B,"*SAP*",'SAP ABAP Tracker'!D:D,"⏳ Pending")</f>
        <v>0</v>
      </c>
    </row>
    <row r="12" spans="1:5" ht="22.05" customHeight="1" x14ac:dyDescent="0.3">
      <c r="A12" s="22" t="s">
        <v>161</v>
      </c>
      <c r="B12" s="23">
        <v>5</v>
      </c>
      <c r="C12" s="23">
        <f>COUNTIFS('SAP ABAP Tracker'!B:B,"*ABAP*",'SAP ABAP Tracker'!D:D,"✅ Done")</f>
        <v>3</v>
      </c>
      <c r="D12" s="23">
        <f>COUNTIFS('SAP ABAP Tracker'!B:B,"*ABAP*",'SAP ABAP Tracker'!D:D,"🔄 In Progress")</f>
        <v>1</v>
      </c>
      <c r="E12" s="23">
        <f>COUNTIFS('SAP ABAP Tracker'!B:B,"*ABAP*",'SAP ABAP Tracker'!D:D,"⏳ Pending")</f>
        <v>3</v>
      </c>
    </row>
    <row r="13" spans="1:5" ht="22.05" customHeight="1" x14ac:dyDescent="0.3">
      <c r="A13" s="20" t="s">
        <v>162</v>
      </c>
      <c r="B13" s="21">
        <v>14</v>
      </c>
      <c r="C13" s="21">
        <f>COUNTIFS('SAP ABAP Tracker'!B:B,"*ABAP*",'SAP ABAP Tracker'!D:D,"✅ Done")</f>
        <v>3</v>
      </c>
      <c r="D13" s="21">
        <f>COUNTIFS('SAP ABAP Tracker'!B:B,"*ABAP*",'SAP ABAP Tracker'!D:D,"🔄 In Progress")</f>
        <v>1</v>
      </c>
      <c r="E13" s="21">
        <f>COUNTIFS('SAP ABAP Tracker'!B:B,"*ABAP*",'SAP ABAP Tracker'!D:D,"⏳ Pending")</f>
        <v>3</v>
      </c>
    </row>
    <row r="14" spans="1:5" ht="22.05" customHeight="1" x14ac:dyDescent="0.3">
      <c r="A14" s="22" t="s">
        <v>163</v>
      </c>
      <c r="B14" s="23">
        <v>7</v>
      </c>
      <c r="C14" s="23">
        <f>COUNTIFS('SAP ABAP Tracker'!B:B,"*ABAP*",'SAP ABAP Tracker'!D:D,"✅ Done")</f>
        <v>3</v>
      </c>
      <c r="D14" s="23">
        <f>COUNTIFS('SAP ABAP Tracker'!B:B,"*ABAP*",'SAP ABAP Tracker'!D:D,"🔄 In Progress")</f>
        <v>1</v>
      </c>
      <c r="E14" s="23">
        <f>COUNTIFS('SAP ABAP Tracker'!B:B,"*ABAP*",'SAP ABAP Tracker'!D:D,"⏳ Pending")</f>
        <v>3</v>
      </c>
    </row>
    <row r="15" spans="1:5" ht="22.05" customHeight="1" x14ac:dyDescent="0.3">
      <c r="A15" s="20" t="s">
        <v>74</v>
      </c>
      <c r="B15" s="21">
        <v>4</v>
      </c>
      <c r="C15" s="21">
        <f>COUNTIFS('SAP ABAP Tracker'!B:B,"*Reports*",'SAP ABAP Tracker'!D:D,"✅ Done")</f>
        <v>0</v>
      </c>
      <c r="D15" s="21">
        <f>COUNTIFS('SAP ABAP Tracker'!B:B,"*Reports*",'SAP ABAP Tracker'!D:D,"🔄 In Progress")</f>
        <v>0</v>
      </c>
      <c r="E15" s="21">
        <f>COUNTIFS('SAP ABAP Tracker'!B:B,"*Reports*",'SAP ABAP Tracker'!D:D,"⏳ Pending")</f>
        <v>1</v>
      </c>
    </row>
    <row r="16" spans="1:5" ht="22.05" customHeight="1" x14ac:dyDescent="0.3">
      <c r="A16" s="22" t="s">
        <v>164</v>
      </c>
      <c r="B16" s="23">
        <v>11</v>
      </c>
      <c r="C16" s="23">
        <f>COUNTIFS('SAP ABAP Tracker'!B:B,"*Modularisation*",'SAP ABAP Tracker'!D:D,"✅ Done")</f>
        <v>0</v>
      </c>
      <c r="D16" s="23">
        <f>COUNTIFS('SAP ABAP Tracker'!B:B,"*Modularisation*",'SAP ABAP Tracker'!D:D,"🔄 In Progress")</f>
        <v>0</v>
      </c>
      <c r="E16" s="23">
        <f>COUNTIFS('SAP ABAP Tracker'!B:B,"*Modularisation*",'SAP ABAP Tracker'!D:D,"⏳ Pending")</f>
        <v>1</v>
      </c>
    </row>
    <row r="17" spans="1:5" ht="22.05" customHeight="1" x14ac:dyDescent="0.3">
      <c r="A17" s="20" t="s">
        <v>165</v>
      </c>
      <c r="B17" s="21">
        <v>7</v>
      </c>
      <c r="C17" s="21">
        <f>COUNTIFS('SAP ABAP Tracker'!B:B,"*BAPI*",'SAP ABAP Tracker'!D:D,"✅ Done")</f>
        <v>0</v>
      </c>
      <c r="D17" s="21">
        <f>COUNTIFS('SAP ABAP Tracker'!B:B,"*BAPI*",'SAP ABAP Tracker'!D:D,"🔄 In Progress")</f>
        <v>0</v>
      </c>
      <c r="E17" s="21">
        <f>COUNTIFS('SAP ABAP Tracker'!B:B,"*BAPI*",'SAP ABAP Tracker'!D:D,"⏳ Pending")</f>
        <v>7</v>
      </c>
    </row>
    <row r="18" spans="1:5" ht="22.05" customHeight="1" x14ac:dyDescent="0.3">
      <c r="A18" s="22" t="s">
        <v>166</v>
      </c>
      <c r="B18" s="23">
        <v>9</v>
      </c>
      <c r="C18" s="23">
        <f>COUNTIFS('SAP ABAP Tracker'!B:B,"*Enhancement*",'SAP ABAP Tracker'!D:D,"✅ Done")</f>
        <v>0</v>
      </c>
      <c r="D18" s="23">
        <f>COUNTIFS('SAP ABAP Tracker'!B:B,"*Enhancement*",'SAP ABAP Tracker'!D:D,"🔄 In Progress")</f>
        <v>0</v>
      </c>
      <c r="E18" s="23">
        <f>COUNTIFS('SAP ABAP Tracker'!B:B,"*Enhancement*",'SAP ABAP Tracker'!D:D,"⏳ Pending")</f>
        <v>5</v>
      </c>
    </row>
    <row r="20" spans="1:5" ht="16.05" customHeight="1" x14ac:dyDescent="0.3">
      <c r="A20" s="32" t="s">
        <v>167</v>
      </c>
      <c r="B20" s="27"/>
      <c r="C20" s="27"/>
      <c r="D20" s="27"/>
      <c r="E20" s="27"/>
    </row>
  </sheetData>
  <mergeCells count="3">
    <mergeCell ref="A1:E1"/>
    <mergeCell ref="A9:E9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A1:B13"/>
  <sheetViews>
    <sheetView showGridLines="0" topLeftCell="A4" workbookViewId="0">
      <selection sqref="A1:B1"/>
    </sheetView>
  </sheetViews>
  <sheetFormatPr defaultRowHeight="14.4" x14ac:dyDescent="0.3"/>
  <cols>
    <col min="1" max="1" width="30" customWidth="1"/>
    <col min="2" max="2" width="58" customWidth="1"/>
  </cols>
  <sheetData>
    <row r="1" spans="1:2" ht="34.049999999999997" customHeight="1" x14ac:dyDescent="0.3">
      <c r="A1" s="33" t="s">
        <v>168</v>
      </c>
      <c r="B1" s="27"/>
    </row>
    <row r="2" spans="1:2" ht="36" customHeight="1" x14ac:dyDescent="0.3">
      <c r="A2" s="24" t="s">
        <v>169</v>
      </c>
      <c r="B2" s="24" t="s">
        <v>170</v>
      </c>
    </row>
    <row r="3" spans="1:2" ht="36" customHeight="1" x14ac:dyDescent="0.3">
      <c r="A3" s="25" t="s">
        <v>171</v>
      </c>
      <c r="B3" s="8" t="s">
        <v>172</v>
      </c>
    </row>
    <row r="4" spans="1:2" ht="36" customHeight="1" x14ac:dyDescent="0.3">
      <c r="A4" s="25" t="s">
        <v>173</v>
      </c>
      <c r="B4" s="3" t="s">
        <v>174</v>
      </c>
    </row>
    <row r="5" spans="1:2" ht="36" customHeight="1" x14ac:dyDescent="0.3">
      <c r="A5" s="25" t="s">
        <v>175</v>
      </c>
      <c r="B5" s="8" t="s">
        <v>176</v>
      </c>
    </row>
    <row r="6" spans="1:2" ht="36" customHeight="1" x14ac:dyDescent="0.3">
      <c r="A6" s="25" t="s">
        <v>177</v>
      </c>
      <c r="B6" s="3" t="s">
        <v>178</v>
      </c>
    </row>
    <row r="7" spans="1:2" ht="36" customHeight="1" x14ac:dyDescent="0.3">
      <c r="A7" s="25" t="s">
        <v>179</v>
      </c>
      <c r="B7" s="8" t="s">
        <v>180</v>
      </c>
    </row>
    <row r="8" spans="1:2" ht="36" customHeight="1" x14ac:dyDescent="0.3">
      <c r="A8" s="25" t="s">
        <v>181</v>
      </c>
      <c r="B8" s="3" t="s">
        <v>182</v>
      </c>
    </row>
    <row r="9" spans="1:2" ht="36" customHeight="1" x14ac:dyDescent="0.3">
      <c r="A9" s="25" t="s">
        <v>183</v>
      </c>
      <c r="B9" s="8" t="s">
        <v>184</v>
      </c>
    </row>
    <row r="10" spans="1:2" ht="36" customHeight="1" x14ac:dyDescent="0.3">
      <c r="A10" s="25" t="s">
        <v>185</v>
      </c>
      <c r="B10" s="3" t="s">
        <v>186</v>
      </c>
    </row>
    <row r="11" spans="1:2" ht="36" customHeight="1" x14ac:dyDescent="0.3">
      <c r="A11" s="25" t="s">
        <v>187</v>
      </c>
      <c r="B11" s="8" t="s">
        <v>188</v>
      </c>
    </row>
    <row r="12" spans="1:2" ht="36" customHeight="1" x14ac:dyDescent="0.3">
      <c r="A12" s="25" t="s">
        <v>189</v>
      </c>
      <c r="B12" s="3" t="s">
        <v>190</v>
      </c>
    </row>
    <row r="13" spans="1:2" ht="36" customHeight="1" x14ac:dyDescent="0.3">
      <c r="A13" s="25" t="s">
        <v>191</v>
      </c>
      <c r="B13" s="8" t="s">
        <v>192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SAP ABAP Tracker</vt:lpstr>
      <vt:lpstr>Dashboard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2026-05-30T01:28:56Z</dcterms:created>
  <dcterms:modified xsi:type="dcterms:W3CDTF">2026-05-30T10:14:20Z</dcterms:modified>
</cp:coreProperties>
</file>